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Project\backup0529\"/>
    </mc:Choice>
  </mc:AlternateContent>
  <bookViews>
    <workbookView xWindow="0" yWindow="0" windowWidth="18285" windowHeight="12255" firstSheet="1" activeTab="1"/>
  </bookViews>
  <sheets>
    <sheet name="Sheet1" sheetId="16" state="hidden" r:id="rId1"/>
    <sheet name="정보동의서" sheetId="9" r:id="rId2"/>
    <sheet name="Sheet2" sheetId="15" state="hidden" r:id="rId3"/>
  </sheets>
  <externalReferences>
    <externalReference r:id="rId4"/>
  </externalReferences>
  <definedNames>
    <definedName name="_xlnm.Print_Area" localSheetId="1">정보동의서!$A$1:$L$53</definedName>
    <definedName name="범위">'[1]급여대장(출력)'!$C$12:$U$41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I49" i="9" l="1"/>
  <c r="H52" i="9"/>
  <c r="F33" i="9" l="1"/>
</calcChain>
</file>

<file path=xl/sharedStrings.xml><?xml version="1.0" encoding="utf-8"?>
<sst xmlns="http://schemas.openxmlformats.org/spreadsheetml/2006/main" count="54" uniqueCount="41">
  <si>
    <t>은(는)</t>
    <phoneticPr fontId="4" type="noConversion"/>
  </si>
  <si>
    <t>·</t>
    <phoneticPr fontId="4" type="noConversion"/>
  </si>
  <si>
    <t>가. 성명</t>
    <phoneticPr fontId="4" type="noConversion"/>
  </si>
  <si>
    <t>나. 주소, 이메일, 연락처</t>
    <phoneticPr fontId="4" type="noConversion"/>
  </si>
  <si>
    <t>다. 학력, 근무경력, 자격증</t>
    <phoneticPr fontId="4" type="noConversion"/>
  </si>
  <si>
    <t>가. 채용 및 승진 등 인사관리</t>
    <phoneticPr fontId="4" type="noConversion"/>
  </si>
  <si>
    <t>나. 세법, 노동관계법령 등에서 부과하는 의무이행</t>
    <phoneticPr fontId="4" type="noConversion"/>
  </si>
  <si>
    <t>재직기간 동안 보유하고, 기타 개별법령에서 보유기간을 정하고 있는 경우 그에 따름</t>
    <phoneticPr fontId="4" type="noConversion"/>
  </si>
  <si>
    <t>개인정보의 수집·이용에 관한 동의서</t>
    <phoneticPr fontId="4" type="noConversion"/>
  </si>
  <si>
    <t>개인정보항목</t>
    <phoneticPr fontId="4" type="noConversion"/>
  </si>
  <si>
    <t>수집·이용 목적</t>
    <phoneticPr fontId="4" type="noConversion"/>
  </si>
  <si>
    <t>보유기간</t>
    <phoneticPr fontId="4" type="noConversion"/>
  </si>
  <si>
    <r>
      <t>개인정보 수집</t>
    </r>
    <r>
      <rPr>
        <b/>
        <sz val="11"/>
        <color theme="1"/>
        <rFont val="맑은 고딕"/>
        <family val="3"/>
        <charset val="129"/>
      </rPr>
      <t>·이용에(□동의함 / □동의하지 않음)</t>
    </r>
    <phoneticPr fontId="4" type="noConversion"/>
  </si>
  <si>
    <t>월</t>
    <phoneticPr fontId="4" type="noConversion"/>
  </si>
  <si>
    <t>일</t>
    <phoneticPr fontId="4" type="noConversion"/>
  </si>
  <si>
    <t xml:space="preserve">동의자 </t>
    <phoneticPr fontId="4" type="noConversion"/>
  </si>
  <si>
    <t>(인)</t>
    <phoneticPr fontId="4" type="noConversion"/>
  </si>
  <si>
    <t>귀하</t>
    <phoneticPr fontId="4" type="noConversion"/>
  </si>
  <si>
    <t>민감정보항목</t>
    <phoneticPr fontId="4" type="noConversion"/>
  </si>
  <si>
    <r>
      <t>민감정보 수집</t>
    </r>
    <r>
      <rPr>
        <b/>
        <sz val="11"/>
        <color theme="1"/>
        <rFont val="맑은 고딕"/>
        <family val="3"/>
        <charset val="129"/>
      </rPr>
      <t>·이용에(□동의함 / □동의하지 않음)</t>
    </r>
    <phoneticPr fontId="4" type="noConversion"/>
  </si>
  <si>
    <r>
      <t>고유식별정보 수집</t>
    </r>
    <r>
      <rPr>
        <b/>
        <sz val="11"/>
        <color theme="1"/>
        <rFont val="맑은 고딕"/>
        <family val="3"/>
        <charset val="129"/>
      </rPr>
      <t>·이용에(□동의함 / □동의하지 않음)</t>
    </r>
    <phoneticPr fontId="4" type="noConversion"/>
  </si>
  <si>
    <t>고유식별정보항목</t>
    <phoneticPr fontId="4" type="noConversion"/>
  </si>
  <si>
    <t>가. 신체장애</t>
    <phoneticPr fontId="4" type="noConversion"/>
  </si>
  <si>
    <t>나. 병력</t>
    <phoneticPr fontId="4" type="noConversion"/>
  </si>
  <si>
    <t>다. 범죄정보</t>
    <phoneticPr fontId="4" type="noConversion"/>
  </si>
  <si>
    <t>다. 정부지원금 신청</t>
    <phoneticPr fontId="4" type="noConversion"/>
  </si>
  <si>
    <t>가. 주민등록번호</t>
    <phoneticPr fontId="4" type="noConversion"/>
  </si>
  <si>
    <t>다. 여권번호</t>
    <phoneticPr fontId="4" type="noConversion"/>
  </si>
  <si>
    <t>라. 외국인등록번호</t>
    <phoneticPr fontId="4" type="noConversion"/>
  </si>
  <si>
    <t>개인정보를 재직기간 동안 내부적으로 채용·승진 등 인사관리에 이용하고, 외부적으로 법령에 따라 관계기관에 제공하는 것에 동의합니다.</t>
    <phoneticPr fontId="4" type="noConversion"/>
  </si>
  <si>
    <r>
      <t>본사는 취득한 개인정보를 수집한 목적에 필요한 범위에서 적합하게 처리하고 그 목적 외의 용도로 사용하지 않으며 개인정보를 제공한 계약당사자는 언제나 자신이 입력한 개인정보를 열람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3"/>
        <charset val="129"/>
        <scheme val="minor"/>
      </rPr>
      <t>수정 및 정보제공에 대한 철회를 할 수 있습니다.</t>
    </r>
    <phoneticPr fontId="4" type="noConversion"/>
  </si>
  <si>
    <t>본인은 1~3항에 따라 수집되는 개인정보의 항목과 개인정보의 수집·이용에 대한 거부를 할 수 있는 권리가 있다는 사실을 충분히 설명 받고 숙지하였으며, 미동의시 적법하게 시행되는 회사내부규정 및 법령에 따라 발생하는 불이익에 대한 책임은 본인에게 있음을 확인합니다. 민감정보· 고유식별정보를 수집· 이용하는 것에 동의 합니다.</t>
    <phoneticPr fontId="4" type="noConversion"/>
  </si>
  <si>
    <t>인사관리상 개인정보의수집 및 이용이 필요하다는 것을 이해하고 다음과 같이 개인정보·민감정보·고유식별정보를 수집·이용하는 것에 동의 합니다.</t>
    <phoneticPr fontId="4" type="noConversion"/>
  </si>
  <si>
    <t>의 재직근로자로서</t>
  </si>
  <si>
    <t>이(가) 취득한</t>
    <phoneticPr fontId="4" type="noConversion"/>
  </si>
  <si>
    <t xml:space="preserve">년 </t>
    <phoneticPr fontId="4" type="noConversion"/>
  </si>
  <si>
    <t>라. 기타근무와 관련된 개인정보</t>
    <phoneticPr fontId="4" type="noConversion"/>
  </si>
  <si>
    <t>나. 운전면허번호</t>
    <phoneticPr fontId="4" type="noConversion"/>
  </si>
  <si>
    <t>{직원명}</t>
    <phoneticPr fontId="4" type="noConversion"/>
  </si>
  <si>
    <t xml:space="preserve"> </t>
    <phoneticPr fontId="4" type="noConversion"/>
  </si>
  <si>
    <t>{고객사명}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</si>
</sst>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_ * #,##0_ ;_ * \-#,##0_ ;_ * &quot;-&quot;_ ;_ @_ "/>
    <numFmt numFmtId="177" formatCode="0_);[Red]\(0\)"/>
  </numFmts>
  <fonts count="13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b/>
      <sz val="11"/>
      <color theme="0" tint="-0.1499984740745262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5" fillId="0" borderId="0">
      <alignment vertical="center"/>
    </xf>
    <xf numFmtId="0" fontId="2" fillId="0" borderId="0"/>
    <xf numFmtId="0" fontId="2" fillId="0" borderId="0" applyFill="0" applyAlignment="0"/>
    <xf numFmtId="41" fontId="2" fillId="0" borderId="0" applyFont="0" applyFill="0" applyAlignment="0" applyProtection="0"/>
    <xf numFmtId="41" fontId="2" fillId="0" borderId="0" applyFont="0" applyFill="0" applyAlignment="0" applyProtection="0"/>
    <xf numFmtId="0" fontId="2" fillId="0" borderId="0" applyFill="0" applyAlignment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2" fillId="0" borderId="0"/>
    <xf numFmtId="41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>
      <alignment vertical="center"/>
    </xf>
    <xf numFmtId="41" fontId="2" fillId="0" borderId="0" applyFont="0" applyFill="0" applyBorder="0" applyAlignment="0" applyProtection="0"/>
  </cellStyleXfs>
  <cellXfs count="30">
    <xf numFmtId="0" fontId="0" fillId="0" borderId="0" xfId="0">
      <alignment vertical="center"/>
    </xf>
    <xf numFmtId="41" fontId="0" fillId="0" borderId="0" xfId="1" applyFont="1">
      <alignment vertical="center"/>
    </xf>
    <xf numFmtId="0" fontId="7" fillId="0" borderId="0" xfId="0" applyFont="1">
      <alignment vertical="center"/>
    </xf>
    <xf numFmtId="177" fontId="6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22">
    <cellStyle name="백분율 2" xfId="13"/>
    <cellStyle name="쉼표 [0]" xfId="1" builtinId="6"/>
    <cellStyle name="쉼표 [0] 10 3" xfId="7"/>
    <cellStyle name="쉼표 [0] 11" xfId="18"/>
    <cellStyle name="쉼표 [0] 12" xfId="6"/>
    <cellStyle name="쉼표 [0] 2" xfId="12"/>
    <cellStyle name="쉼표 [0] 2 2" xfId="16"/>
    <cellStyle name="쉼표 [0] 3" xfId="10"/>
    <cellStyle name="쉼표 [0] 3 2" xfId="14"/>
    <cellStyle name="쉼표 [0] 3 3" xfId="21"/>
    <cellStyle name="쉼표 [0] 7" xfId="2"/>
    <cellStyle name="표준" xfId="0" builtinId="0"/>
    <cellStyle name="표준 10 2" xfId="15"/>
    <cellStyle name="표준 12" xfId="8"/>
    <cellStyle name="표준 19" xfId="5"/>
    <cellStyle name="표준 2" xfId="3"/>
    <cellStyle name="표준 2 16 2" xfId="17"/>
    <cellStyle name="표준 2 2 2" xfId="20"/>
    <cellStyle name="표준 2 2 6" xfId="11"/>
    <cellStyle name="표준 3" xfId="19"/>
    <cellStyle name="표준 3 2" xfId="4"/>
    <cellStyle name="표준 4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ect1ek3\(&#44277;&#50976;)&#50629;&#47924;&#54028;&#51068;\5.%20&#51088;&#47308;\2.%20&#49436;&#49885;\3.%20&#51076;&#44552;%20&#48143;%20&#44540;&#47196;&#49884;&#44036;\&#44553;&#50668;&#47749;&#49464;&#49436;(&#49569;&#48512;&#50857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대장(입력)"/>
      <sheetName val="급여대장(출력)"/>
      <sheetName val="급여명세서"/>
      <sheetName val="Sheet1"/>
      <sheetName val="기초정보"/>
      <sheetName val="기본근로시간"/>
      <sheetName val="임금및연봉"/>
      <sheetName val="임금대장"/>
      <sheetName val="임금대장+상여금(신고용)"/>
      <sheetName val="부양가족"/>
      <sheetName val="근로소득세"/>
      <sheetName val="근로계약서"/>
      <sheetName val="정보동의서"/>
      <sheetName val="Sheet2"/>
    </sheetNames>
    <sheetDataSet>
      <sheetData sheetId="0">
        <row r="6">
          <cell r="G6">
            <v>2014</v>
          </cell>
        </row>
      </sheetData>
      <sheetData sheetId="1">
        <row r="11">
          <cell r="D11" t="str">
            <v>기본급</v>
          </cell>
        </row>
        <row r="12">
          <cell r="C12" t="str">
            <v>문상진</v>
          </cell>
          <cell r="D12">
            <v>3090194</v>
          </cell>
          <cell r="E12">
            <v>965686</v>
          </cell>
          <cell r="F12">
            <v>193137</v>
          </cell>
          <cell r="G12">
            <v>965686</v>
          </cell>
          <cell r="I12">
            <v>100000</v>
          </cell>
          <cell r="J12">
            <v>200000</v>
          </cell>
          <cell r="K12">
            <v>100000</v>
          </cell>
          <cell r="L12">
            <v>0</v>
          </cell>
          <cell r="M12">
            <v>5614710</v>
          </cell>
          <cell r="N12">
            <v>244600</v>
          </cell>
          <cell r="O12">
            <v>24460</v>
          </cell>
          <cell r="P12">
            <v>156180</v>
          </cell>
          <cell r="Q12">
            <v>10220</v>
          </cell>
          <cell r="R12">
            <v>179100</v>
          </cell>
          <cell r="S12">
            <v>0</v>
          </cell>
          <cell r="T12">
            <v>0</v>
          </cell>
          <cell r="U12">
            <v>614560</v>
          </cell>
        </row>
        <row r="13">
          <cell r="C13" t="str">
            <v>유상선</v>
          </cell>
          <cell r="D13">
            <v>1973333</v>
          </cell>
          <cell r="E13">
            <v>0</v>
          </cell>
          <cell r="F13">
            <v>0</v>
          </cell>
          <cell r="G13">
            <v>246667</v>
          </cell>
          <cell r="I13">
            <v>100000</v>
          </cell>
          <cell r="J13">
            <v>200000</v>
          </cell>
          <cell r="L13">
            <v>0</v>
          </cell>
          <cell r="M13">
            <v>2520000</v>
          </cell>
          <cell r="N13">
            <v>24840</v>
          </cell>
          <cell r="O13">
            <v>2480</v>
          </cell>
          <cell r="P13">
            <v>66480</v>
          </cell>
          <cell r="Q13">
            <v>4350</v>
          </cell>
          <cell r="R13">
            <v>97780</v>
          </cell>
          <cell r="S13">
            <v>14430</v>
          </cell>
          <cell r="T13">
            <v>0</v>
          </cell>
          <cell r="U13">
            <v>210360</v>
          </cell>
        </row>
        <row r="14">
          <cell r="C14" t="str">
            <v>김찬기</v>
          </cell>
          <cell r="D14">
            <v>1200000</v>
          </cell>
          <cell r="E14">
            <v>0</v>
          </cell>
          <cell r="F14">
            <v>0</v>
          </cell>
          <cell r="G14">
            <v>150000</v>
          </cell>
          <cell r="I14">
            <v>100000</v>
          </cell>
          <cell r="L14">
            <v>0</v>
          </cell>
          <cell r="M14">
            <v>1450000</v>
          </cell>
          <cell r="N14">
            <v>4640</v>
          </cell>
          <cell r="O14">
            <v>460</v>
          </cell>
          <cell r="P14">
            <v>40430</v>
          </cell>
          <cell r="Q14">
            <v>2640</v>
          </cell>
          <cell r="R14">
            <v>58270</v>
          </cell>
          <cell r="S14">
            <v>8770</v>
          </cell>
          <cell r="T14">
            <v>0</v>
          </cell>
          <cell r="U14">
            <v>115210</v>
          </cell>
        </row>
        <row r="15">
          <cell r="C15" t="str">
            <v>임성태</v>
          </cell>
          <cell r="D15">
            <v>1107692</v>
          </cell>
          <cell r="E15">
            <v>346154</v>
          </cell>
          <cell r="F15">
            <v>0</v>
          </cell>
          <cell r="G15">
            <v>346154</v>
          </cell>
          <cell r="I15">
            <v>100000</v>
          </cell>
          <cell r="L15">
            <v>-61290</v>
          </cell>
          <cell r="M15">
            <v>1838710</v>
          </cell>
          <cell r="N15">
            <v>12540</v>
          </cell>
          <cell r="O15">
            <v>1250</v>
          </cell>
          <cell r="P15">
            <v>52070</v>
          </cell>
          <cell r="Q15">
            <v>3410</v>
          </cell>
          <cell r="R15">
            <v>72000</v>
          </cell>
          <cell r="S15">
            <v>11300</v>
          </cell>
          <cell r="T15">
            <v>0</v>
          </cell>
          <cell r="U15">
            <v>152570</v>
          </cell>
        </row>
        <row r="16">
          <cell r="C16" t="str">
            <v>김경선</v>
          </cell>
          <cell r="D16">
            <v>1015384</v>
          </cell>
          <cell r="E16">
            <v>317308</v>
          </cell>
          <cell r="F16">
            <v>0</v>
          </cell>
          <cell r="G16">
            <v>317308</v>
          </cell>
          <cell r="I16">
            <v>100000</v>
          </cell>
          <cell r="L16">
            <v>0</v>
          </cell>
          <cell r="M16">
            <v>1750000</v>
          </cell>
          <cell r="N16">
            <v>10890</v>
          </cell>
          <cell r="O16">
            <v>1080</v>
          </cell>
          <cell r="P16">
            <v>49410</v>
          </cell>
          <cell r="Q16">
            <v>3230</v>
          </cell>
          <cell r="R16">
            <v>67500</v>
          </cell>
          <cell r="S16">
            <v>10720</v>
          </cell>
          <cell r="T16">
            <v>0</v>
          </cell>
          <cell r="U16">
            <v>142830</v>
          </cell>
        </row>
        <row r="17">
          <cell r="C17" t="str">
            <v>송승근</v>
          </cell>
          <cell r="D17">
            <v>1015384</v>
          </cell>
          <cell r="E17">
            <v>317308</v>
          </cell>
          <cell r="F17">
            <v>0</v>
          </cell>
          <cell r="G17">
            <v>317308</v>
          </cell>
          <cell r="I17">
            <v>100000</v>
          </cell>
          <cell r="L17">
            <v>-26774</v>
          </cell>
          <cell r="M17">
            <v>1723230</v>
          </cell>
          <cell r="N17">
            <v>10270</v>
          </cell>
          <cell r="O17">
            <v>1020</v>
          </cell>
          <cell r="P17">
            <v>48610</v>
          </cell>
          <cell r="Q17">
            <v>3180</v>
          </cell>
          <cell r="R17">
            <v>67500</v>
          </cell>
          <cell r="S17">
            <v>10550</v>
          </cell>
          <cell r="T17">
            <v>0</v>
          </cell>
          <cell r="U17">
            <v>141130</v>
          </cell>
        </row>
        <row r="18">
          <cell r="C18" t="str">
            <v>양혜선</v>
          </cell>
          <cell r="D18">
            <v>1197661</v>
          </cell>
          <cell r="E18">
            <v>93567</v>
          </cell>
          <cell r="F18">
            <v>149708</v>
          </cell>
          <cell r="G18">
            <v>159064</v>
          </cell>
          <cell r="H18">
            <v>120000</v>
          </cell>
          <cell r="I18">
            <v>220000</v>
          </cell>
          <cell r="L18">
            <v>0</v>
          </cell>
          <cell r="M18">
            <v>1820000</v>
          </cell>
          <cell r="N18">
            <v>12340</v>
          </cell>
          <cell r="O18">
            <v>1230</v>
          </cell>
          <cell r="P18">
            <v>51510</v>
          </cell>
          <cell r="Q18">
            <v>3370</v>
          </cell>
          <cell r="R18">
            <v>72000</v>
          </cell>
          <cell r="S18">
            <v>11180</v>
          </cell>
          <cell r="T18">
            <v>0</v>
          </cell>
          <cell r="U18">
            <v>151630</v>
          </cell>
        </row>
        <row r="19">
          <cell r="C19" t="str">
            <v>김효정</v>
          </cell>
          <cell r="D19">
            <v>1275949</v>
          </cell>
          <cell r="E19">
            <v>0</v>
          </cell>
          <cell r="F19">
            <v>0</v>
          </cell>
          <cell r="G19">
            <v>124051</v>
          </cell>
          <cell r="I19">
            <v>100000</v>
          </cell>
          <cell r="L19">
            <v>-3263</v>
          </cell>
          <cell r="M19">
            <v>1496740</v>
          </cell>
          <cell r="N19">
            <v>5570</v>
          </cell>
          <cell r="O19">
            <v>550</v>
          </cell>
          <cell r="P19">
            <v>41830</v>
          </cell>
          <cell r="Q19">
            <v>2730</v>
          </cell>
          <cell r="R19">
            <v>63000</v>
          </cell>
          <cell r="S19">
            <v>9070</v>
          </cell>
          <cell r="T19">
            <v>0</v>
          </cell>
          <cell r="U19">
            <v>122750</v>
          </cell>
        </row>
        <row r="20">
          <cell r="C20" t="str">
            <v>홍태민</v>
          </cell>
          <cell r="D20">
            <v>1200000</v>
          </cell>
          <cell r="E20">
            <v>0</v>
          </cell>
          <cell r="F20">
            <v>0</v>
          </cell>
          <cell r="G20">
            <v>0</v>
          </cell>
          <cell r="I20">
            <v>100000</v>
          </cell>
          <cell r="L20">
            <v>-9863</v>
          </cell>
          <cell r="M20">
            <v>1290140</v>
          </cell>
          <cell r="N20">
            <v>0</v>
          </cell>
          <cell r="O20">
            <v>0</v>
          </cell>
          <cell r="P20">
            <v>35640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39274.620000000003</v>
          </cell>
        </row>
        <row r="21">
          <cell r="C21" t="str">
            <v>김영숙</v>
          </cell>
          <cell r="D21">
            <v>1037647</v>
          </cell>
          <cell r="E21">
            <v>0</v>
          </cell>
          <cell r="F21">
            <v>135882</v>
          </cell>
          <cell r="G21">
            <v>86471</v>
          </cell>
          <cell r="H21">
            <v>125000</v>
          </cell>
          <cell r="I21">
            <v>225000</v>
          </cell>
          <cell r="M21">
            <v>1485000</v>
          </cell>
          <cell r="N21">
            <v>5370</v>
          </cell>
          <cell r="O21">
            <v>530</v>
          </cell>
          <cell r="P21">
            <v>41480</v>
          </cell>
          <cell r="Q21">
            <v>2710</v>
          </cell>
          <cell r="R21">
            <v>56700</v>
          </cell>
          <cell r="S21">
            <v>9000</v>
          </cell>
          <cell r="T21">
            <v>0</v>
          </cell>
          <cell r="U21">
            <v>115790</v>
          </cell>
        </row>
        <row r="22">
          <cell r="C22" t="str">
            <v>강소원</v>
          </cell>
          <cell r="D22">
            <v>988235</v>
          </cell>
          <cell r="E22">
            <v>0</v>
          </cell>
          <cell r="F22">
            <v>129412</v>
          </cell>
          <cell r="G22">
            <v>82353</v>
          </cell>
          <cell r="H22">
            <v>120000</v>
          </cell>
          <cell r="I22">
            <v>220000</v>
          </cell>
          <cell r="L22">
            <v>-8123</v>
          </cell>
          <cell r="M22">
            <v>1411880</v>
          </cell>
          <cell r="N22">
            <v>3820</v>
          </cell>
          <cell r="O22">
            <v>380</v>
          </cell>
          <cell r="P22">
            <v>39290</v>
          </cell>
          <cell r="Q22">
            <v>2570</v>
          </cell>
          <cell r="R22">
            <v>54000</v>
          </cell>
          <cell r="S22">
            <v>8520</v>
          </cell>
          <cell r="T22">
            <v>0</v>
          </cell>
          <cell r="U22">
            <v>108580</v>
          </cell>
        </row>
        <row r="23">
          <cell r="C23" t="str">
            <v>박기태</v>
          </cell>
          <cell r="D23">
            <v>955294</v>
          </cell>
          <cell r="E23">
            <v>0</v>
          </cell>
          <cell r="F23">
            <v>125098</v>
          </cell>
          <cell r="G23">
            <v>79608</v>
          </cell>
          <cell r="H23">
            <v>125000</v>
          </cell>
          <cell r="I23">
            <v>225000</v>
          </cell>
          <cell r="L23">
            <v>0</v>
          </cell>
          <cell r="M23">
            <v>1385000</v>
          </cell>
          <cell r="N23">
            <v>3300</v>
          </cell>
          <cell r="O23">
            <v>330</v>
          </cell>
          <cell r="P23">
            <v>38480</v>
          </cell>
          <cell r="Q23">
            <v>2520</v>
          </cell>
          <cell r="R23">
            <v>52200</v>
          </cell>
          <cell r="S23">
            <v>8350</v>
          </cell>
          <cell r="T23">
            <v>0</v>
          </cell>
          <cell r="U23">
            <v>105180</v>
          </cell>
        </row>
        <row r="24">
          <cell r="C24" t="str">
            <v>문정용</v>
          </cell>
          <cell r="D24">
            <v>800000</v>
          </cell>
          <cell r="E24">
            <v>250000</v>
          </cell>
          <cell r="F24">
            <v>0</v>
          </cell>
          <cell r="G24">
            <v>250000</v>
          </cell>
          <cell r="I24">
            <v>100000</v>
          </cell>
          <cell r="L24">
            <v>-1156932</v>
          </cell>
          <cell r="M24">
            <v>243070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C25" t="str">
            <v>강연정</v>
          </cell>
          <cell r="D25">
            <v>800000</v>
          </cell>
          <cell r="E25">
            <v>250000</v>
          </cell>
          <cell r="F25">
            <v>0</v>
          </cell>
          <cell r="G25">
            <v>250000</v>
          </cell>
          <cell r="I25">
            <v>100000</v>
          </cell>
          <cell r="L25">
            <v>-15344</v>
          </cell>
          <cell r="M25">
            <v>1384660</v>
          </cell>
          <cell r="N25">
            <v>3200</v>
          </cell>
          <cell r="O25">
            <v>320</v>
          </cell>
          <cell r="P25">
            <v>38470</v>
          </cell>
          <cell r="Q25">
            <v>2510</v>
          </cell>
          <cell r="R25">
            <v>58500</v>
          </cell>
          <cell r="S25">
            <v>8350</v>
          </cell>
          <cell r="T25">
            <v>0</v>
          </cell>
          <cell r="U25">
            <v>111350</v>
          </cell>
        </row>
        <row r="26">
          <cell r="C26" t="str">
            <v>최영민</v>
          </cell>
          <cell r="D26">
            <v>1109999</v>
          </cell>
          <cell r="E26">
            <v>40000</v>
          </cell>
          <cell r="F26">
            <v>0</v>
          </cell>
          <cell r="G26">
            <v>0</v>
          </cell>
          <cell r="I26">
            <v>0</v>
          </cell>
          <cell r="L26">
            <v>-5311</v>
          </cell>
          <cell r="M26">
            <v>1144690</v>
          </cell>
          <cell r="N26">
            <v>1030</v>
          </cell>
          <cell r="O26">
            <v>100</v>
          </cell>
          <cell r="P26">
            <v>34280</v>
          </cell>
          <cell r="Q26">
            <v>2240</v>
          </cell>
          <cell r="R26">
            <v>51750</v>
          </cell>
          <cell r="S26">
            <v>7440</v>
          </cell>
          <cell r="T26">
            <v>0</v>
          </cell>
          <cell r="U26">
            <v>96840</v>
          </cell>
        </row>
        <row r="27">
          <cell r="C27" t="str">
            <v>고명주</v>
          </cell>
          <cell r="D27">
            <v>1155556</v>
          </cell>
          <cell r="E27">
            <v>0</v>
          </cell>
          <cell r="F27">
            <v>0</v>
          </cell>
          <cell r="G27">
            <v>144436</v>
          </cell>
          <cell r="I27">
            <v>100000</v>
          </cell>
          <cell r="L27">
            <v>0</v>
          </cell>
          <cell r="M27">
            <v>1400000</v>
          </cell>
          <cell r="N27">
            <v>3610</v>
          </cell>
          <cell r="O27">
            <v>360</v>
          </cell>
          <cell r="P27">
            <v>38930</v>
          </cell>
          <cell r="Q27">
            <v>2540</v>
          </cell>
          <cell r="R27">
            <v>58500</v>
          </cell>
          <cell r="S27">
            <v>8450</v>
          </cell>
          <cell r="T27">
            <v>0</v>
          </cell>
          <cell r="U27">
            <v>112390</v>
          </cell>
        </row>
        <row r="28">
          <cell r="C28" t="str">
            <v>김소연</v>
          </cell>
          <cell r="D28">
            <v>1050000</v>
          </cell>
          <cell r="E28">
            <v>0</v>
          </cell>
          <cell r="F28">
            <v>0</v>
          </cell>
          <cell r="G28">
            <v>0</v>
          </cell>
          <cell r="I28">
            <v>100000</v>
          </cell>
          <cell r="L28">
            <v>-37097</v>
          </cell>
          <cell r="M28">
            <v>1112910</v>
          </cell>
          <cell r="N28">
            <v>0</v>
          </cell>
          <cell r="O28">
            <v>0</v>
          </cell>
          <cell r="P28">
            <v>30330</v>
          </cell>
          <cell r="Q28">
            <v>1980</v>
          </cell>
          <cell r="R28">
            <v>0</v>
          </cell>
          <cell r="S28">
            <v>0</v>
          </cell>
          <cell r="T28">
            <v>0</v>
          </cell>
          <cell r="U28">
            <v>32310</v>
          </cell>
        </row>
        <row r="29">
          <cell r="C29" t="str">
            <v>이경하</v>
          </cell>
          <cell r="D29">
            <v>1200000</v>
          </cell>
          <cell r="E29">
            <v>0</v>
          </cell>
          <cell r="F29">
            <v>0</v>
          </cell>
          <cell r="G29">
            <v>0</v>
          </cell>
          <cell r="J29">
            <v>0</v>
          </cell>
          <cell r="L29">
            <v>0</v>
          </cell>
          <cell r="M29">
            <v>1200000</v>
          </cell>
          <cell r="N29">
            <v>1870</v>
          </cell>
          <cell r="O29">
            <v>180</v>
          </cell>
          <cell r="P29">
            <v>35940</v>
          </cell>
          <cell r="Q29">
            <v>2350</v>
          </cell>
          <cell r="R29">
            <v>54000</v>
          </cell>
          <cell r="S29">
            <v>7800</v>
          </cell>
          <cell r="T29">
            <v>0</v>
          </cell>
          <cell r="U29">
            <v>102140</v>
          </cell>
        </row>
        <row r="30">
          <cell r="C30" t="str">
            <v>김진권</v>
          </cell>
          <cell r="D30">
            <v>958640</v>
          </cell>
          <cell r="E30">
            <v>0</v>
          </cell>
          <cell r="F30">
            <v>0</v>
          </cell>
          <cell r="G30">
            <v>0</v>
          </cell>
          <cell r="L30">
            <v>158280</v>
          </cell>
          <cell r="M30">
            <v>1116920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C31" t="str">
            <v>김대철</v>
          </cell>
          <cell r="D31">
            <v>997715</v>
          </cell>
          <cell r="E31">
            <v>0</v>
          </cell>
          <cell r="F31">
            <v>0</v>
          </cell>
          <cell r="G31">
            <v>0</v>
          </cell>
          <cell r="L31">
            <v>98990</v>
          </cell>
          <cell r="M31">
            <v>1096710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C32" t="str">
            <v>조중훈</v>
          </cell>
          <cell r="D32">
            <v>356885</v>
          </cell>
          <cell r="E32">
            <v>0</v>
          </cell>
          <cell r="F32">
            <v>0</v>
          </cell>
          <cell r="G32">
            <v>0</v>
          </cell>
          <cell r="L32">
            <v>41680</v>
          </cell>
          <cell r="M32">
            <v>398570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C33" t="str">
            <v>김재화</v>
          </cell>
          <cell r="D33">
            <v>112536</v>
          </cell>
          <cell r="E33">
            <v>0</v>
          </cell>
          <cell r="F33">
            <v>0</v>
          </cell>
          <cell r="G33">
            <v>0</v>
          </cell>
          <cell r="L33">
            <v>18756</v>
          </cell>
          <cell r="M33">
            <v>131300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C34" t="str">
            <v>정승환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C35" t="str">
            <v>장우혁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C36" t="str">
            <v>안정현</v>
          </cell>
          <cell r="D36">
            <v>93780</v>
          </cell>
          <cell r="E36">
            <v>0</v>
          </cell>
          <cell r="F36">
            <v>0</v>
          </cell>
          <cell r="G36">
            <v>0</v>
          </cell>
          <cell r="L36">
            <v>0</v>
          </cell>
          <cell r="M36">
            <v>93780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C37" t="str">
            <v>서유나</v>
          </cell>
          <cell r="D37">
            <v>470943</v>
          </cell>
          <cell r="E37">
            <v>0</v>
          </cell>
          <cell r="F37">
            <v>0</v>
          </cell>
          <cell r="G37">
            <v>0</v>
          </cell>
          <cell r="L37">
            <v>75024</v>
          </cell>
          <cell r="M37">
            <v>545970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</sheetData>
      <sheetData sheetId="2"/>
      <sheetData sheetId="3"/>
      <sheetData sheetId="4">
        <row r="10">
          <cell r="B1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R52"/>
  <sheetViews>
    <sheetView tabSelected="1" topLeftCell="A24" zoomScaleNormal="100" workbookViewId="0">
      <selection activeCell="M41" sqref="M41"/>
    </sheetView>
  </sheetViews>
  <sheetFormatPr defaultRowHeight="16.5" x14ac:dyDescent="0.3"/>
  <cols>
    <col min="1" max="1" width="1.875" customWidth="1"/>
    <col min="2" max="2" width="2.625" customWidth="1"/>
    <col min="3" max="4" width="8.625" customWidth="1"/>
    <col min="5" max="5" width="14.75" customWidth="1"/>
    <col min="6" max="7" width="8.625" customWidth="1"/>
    <col min="8" max="8" width="10" customWidth="1"/>
    <col min="9" max="9" width="10.5" customWidth="1"/>
    <col min="10" max="10" width="9.25" customWidth="1"/>
    <col min="11" max="11" width="13" customWidth="1"/>
    <col min="12" max="12" width="1.625" customWidth="1"/>
    <col min="13" max="13" width="37.125" customWidth="1"/>
    <col min="14" max="14" width="34.875" customWidth="1"/>
  </cols>
  <sheetData>
    <row r="1" spans="1:18" ht="26.25" x14ac:dyDescent="0.3">
      <c r="A1" s="5"/>
      <c r="B1" s="23" t="s">
        <v>8</v>
      </c>
      <c r="C1" s="23"/>
      <c r="D1" s="23"/>
      <c r="E1" s="23"/>
      <c r="F1" s="23"/>
      <c r="G1" s="23"/>
      <c r="H1" s="23"/>
      <c r="I1" s="23"/>
      <c r="J1" s="23"/>
      <c r="K1" s="23"/>
      <c r="L1" s="5"/>
    </row>
    <row r="2" spans="1:18" ht="20.2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8" ht="20.25" customHeight="1" x14ac:dyDescent="0.3">
      <c r="N3" s="2" t="s">
        <v>1</v>
      </c>
    </row>
    <row r="4" spans="1:18" ht="16.5" customHeight="1" x14ac:dyDescent="0.3">
      <c r="A4" s="4"/>
      <c r="B4" s="3">
        <v>1</v>
      </c>
      <c r="C4" s="28" t="s">
        <v>38</v>
      </c>
      <c r="D4" s="17"/>
      <c r="E4" s="4" t="s">
        <v>0</v>
      </c>
      <c r="F4" s="28" t="s">
        <v>40</v>
      </c>
      <c r="G4" s="17"/>
      <c r="H4" s="17"/>
      <c r="I4" s="18" t="s">
        <v>33</v>
      </c>
      <c r="J4" s="18"/>
      <c r="K4" s="4"/>
      <c r="L4" s="4"/>
      <c r="R4" s="1"/>
    </row>
    <row r="5" spans="1:18" ht="18.75" customHeight="1" x14ac:dyDescent="0.3">
      <c r="A5" s="4"/>
      <c r="B5" s="3"/>
      <c r="C5" s="18" t="s">
        <v>32</v>
      </c>
      <c r="D5" s="18"/>
      <c r="E5" s="18"/>
      <c r="F5" s="18"/>
      <c r="G5" s="18"/>
      <c r="H5" s="18"/>
      <c r="I5" s="18"/>
      <c r="J5" s="18"/>
      <c r="K5" s="18"/>
      <c r="L5" s="4"/>
      <c r="R5" s="1"/>
    </row>
    <row r="6" spans="1:18" x14ac:dyDescent="0.3">
      <c r="A6" s="4"/>
      <c r="B6" s="3"/>
      <c r="C6" s="18"/>
      <c r="D6" s="18"/>
      <c r="E6" s="18"/>
      <c r="F6" s="18"/>
      <c r="G6" s="18"/>
      <c r="H6" s="18"/>
      <c r="I6" s="18"/>
      <c r="J6" s="18"/>
      <c r="K6" s="18"/>
      <c r="L6" s="4"/>
      <c r="R6" s="1"/>
    </row>
    <row r="8" spans="1:18" x14ac:dyDescent="0.3">
      <c r="C8" s="14" t="s">
        <v>9</v>
      </c>
      <c r="D8" s="15"/>
      <c r="E8" s="15"/>
      <c r="F8" s="14" t="s">
        <v>10</v>
      </c>
      <c r="G8" s="15"/>
      <c r="H8" s="16"/>
      <c r="I8" s="15" t="s">
        <v>11</v>
      </c>
      <c r="J8" s="15"/>
      <c r="K8" s="16"/>
    </row>
    <row r="9" spans="1:18" ht="16.5" customHeight="1" x14ac:dyDescent="0.3">
      <c r="C9" s="6" t="s">
        <v>2</v>
      </c>
      <c r="F9" s="6" t="s">
        <v>5</v>
      </c>
      <c r="H9" s="7"/>
      <c r="I9" s="24" t="s">
        <v>7</v>
      </c>
      <c r="J9" s="25"/>
      <c r="K9" s="26"/>
    </row>
    <row r="10" spans="1:18" x14ac:dyDescent="0.3">
      <c r="C10" s="6" t="s">
        <v>3</v>
      </c>
      <c r="F10" s="19" t="s">
        <v>6</v>
      </c>
      <c r="G10" s="18"/>
      <c r="H10" s="22"/>
      <c r="I10" s="19"/>
      <c r="J10" s="18"/>
      <c r="K10" s="22"/>
    </row>
    <row r="11" spans="1:18" x14ac:dyDescent="0.3">
      <c r="C11" s="6" t="s">
        <v>4</v>
      </c>
      <c r="F11" s="19"/>
      <c r="G11" s="18"/>
      <c r="H11" s="22"/>
      <c r="I11" s="19"/>
      <c r="J11" s="18"/>
      <c r="K11" s="22"/>
    </row>
    <row r="12" spans="1:18" x14ac:dyDescent="0.3">
      <c r="C12" s="19" t="s">
        <v>36</v>
      </c>
      <c r="D12" s="18"/>
      <c r="E12" s="18"/>
      <c r="F12" s="6"/>
      <c r="H12" s="7"/>
      <c r="I12" s="19"/>
      <c r="J12" s="18"/>
      <c r="K12" s="22"/>
    </row>
    <row r="13" spans="1:18" x14ac:dyDescent="0.3">
      <c r="C13" s="20"/>
      <c r="D13" s="21"/>
      <c r="E13" s="21"/>
      <c r="F13" s="10"/>
      <c r="G13" s="8"/>
      <c r="H13" s="9"/>
      <c r="I13" s="20"/>
      <c r="J13" s="21"/>
      <c r="K13" s="27"/>
    </row>
    <row r="15" spans="1:18" x14ac:dyDescent="0.3">
      <c r="G15" s="13" t="s">
        <v>12</v>
      </c>
      <c r="H15" s="13"/>
      <c r="I15" s="13"/>
      <c r="J15" s="13"/>
      <c r="K15" s="13"/>
    </row>
    <row r="17" spans="3:17" x14ac:dyDescent="0.3">
      <c r="C17" s="14" t="s">
        <v>18</v>
      </c>
      <c r="D17" s="15"/>
      <c r="E17" s="15"/>
      <c r="F17" s="14" t="s">
        <v>10</v>
      </c>
      <c r="G17" s="15"/>
      <c r="H17" s="16"/>
      <c r="I17" s="15" t="s">
        <v>11</v>
      </c>
      <c r="J17" s="15"/>
      <c r="K17" s="16"/>
    </row>
    <row r="18" spans="3:17" ht="16.5" customHeight="1" x14ac:dyDescent="0.3">
      <c r="C18" s="6" t="s">
        <v>22</v>
      </c>
      <c r="F18" s="6" t="s">
        <v>5</v>
      </c>
      <c r="H18" s="7"/>
      <c r="I18" s="24" t="s">
        <v>7</v>
      </c>
      <c r="J18" s="25"/>
      <c r="K18" s="26"/>
    </row>
    <row r="19" spans="3:17" ht="16.5" customHeight="1" x14ac:dyDescent="0.3">
      <c r="C19" s="6" t="s">
        <v>23</v>
      </c>
      <c r="F19" s="19" t="s">
        <v>6</v>
      </c>
      <c r="G19" s="18"/>
      <c r="H19" s="22"/>
      <c r="I19" s="19"/>
      <c r="J19" s="18"/>
      <c r="K19" s="22"/>
    </row>
    <row r="20" spans="3:17" x14ac:dyDescent="0.3">
      <c r="C20" s="6" t="s">
        <v>24</v>
      </c>
      <c r="F20" s="19"/>
      <c r="G20" s="18"/>
      <c r="H20" s="22"/>
      <c r="I20" s="19"/>
      <c r="J20" s="18"/>
      <c r="K20" s="22"/>
    </row>
    <row r="21" spans="3:17" x14ac:dyDescent="0.3">
      <c r="C21" s="20"/>
      <c r="D21" s="21"/>
      <c r="E21" s="21"/>
      <c r="F21" s="10" t="s">
        <v>25</v>
      </c>
      <c r="G21" s="8"/>
      <c r="H21" s="9"/>
      <c r="I21" s="20"/>
      <c r="J21" s="21"/>
      <c r="K21" s="27"/>
    </row>
    <row r="23" spans="3:17" x14ac:dyDescent="0.3">
      <c r="G23" s="13" t="s">
        <v>19</v>
      </c>
      <c r="H23" s="13"/>
      <c r="I23" s="13"/>
      <c r="J23" s="13"/>
      <c r="K23" s="13"/>
    </row>
    <row r="24" spans="3:17" x14ac:dyDescent="0.3">
      <c r="Q24" t="s">
        <v>39</v>
      </c>
    </row>
    <row r="25" spans="3:17" x14ac:dyDescent="0.3">
      <c r="C25" s="14" t="s">
        <v>21</v>
      </c>
      <c r="D25" s="15"/>
      <c r="E25" s="15"/>
      <c r="F25" s="14" t="s">
        <v>10</v>
      </c>
      <c r="G25" s="15"/>
      <c r="H25" s="16"/>
      <c r="I25" s="15" t="s">
        <v>11</v>
      </c>
      <c r="J25" s="15"/>
      <c r="K25" s="16"/>
    </row>
    <row r="26" spans="3:17" ht="16.5" customHeight="1" x14ac:dyDescent="0.3">
      <c r="C26" s="6" t="s">
        <v>26</v>
      </c>
      <c r="F26" s="6" t="s">
        <v>5</v>
      </c>
      <c r="H26" s="7"/>
      <c r="I26" s="24" t="s">
        <v>7</v>
      </c>
      <c r="J26" s="25"/>
      <c r="K26" s="26"/>
    </row>
    <row r="27" spans="3:17" x14ac:dyDescent="0.3">
      <c r="C27" s="6" t="s">
        <v>37</v>
      </c>
      <c r="F27" s="19" t="s">
        <v>6</v>
      </c>
      <c r="G27" s="18"/>
      <c r="H27" s="22"/>
      <c r="I27" s="19"/>
      <c r="J27" s="18"/>
      <c r="K27" s="22"/>
    </row>
    <row r="28" spans="3:17" x14ac:dyDescent="0.3">
      <c r="C28" s="6" t="s">
        <v>27</v>
      </c>
      <c r="F28" s="19"/>
      <c r="G28" s="18"/>
      <c r="H28" s="22"/>
      <c r="I28" s="19"/>
      <c r="J28" s="18"/>
      <c r="K28" s="22"/>
    </row>
    <row r="29" spans="3:17" ht="16.5" customHeight="1" x14ac:dyDescent="0.3">
      <c r="C29" s="20" t="s">
        <v>28</v>
      </c>
      <c r="D29" s="21"/>
      <c r="E29" s="27"/>
      <c r="F29" s="10" t="s">
        <v>25</v>
      </c>
      <c r="G29" s="8"/>
      <c r="H29" s="9"/>
      <c r="I29" s="20"/>
      <c r="J29" s="21"/>
      <c r="K29" s="27"/>
    </row>
    <row r="31" spans="3:17" x14ac:dyDescent="0.3">
      <c r="F31" s="13" t="s">
        <v>20</v>
      </c>
      <c r="G31" s="13"/>
      <c r="H31" s="13"/>
      <c r="I31" s="13"/>
      <c r="J31" s="13"/>
      <c r="K31" s="13"/>
    </row>
    <row r="33" spans="2:11" x14ac:dyDescent="0.3">
      <c r="B33" s="3">
        <v>2</v>
      </c>
      <c r="C33" s="28" t="str">
        <f>C4</f>
        <v>{직원명}</v>
      </c>
      <c r="D33" s="28"/>
      <c r="E33" s="4" t="s">
        <v>0</v>
      </c>
      <c r="F33" s="28" t="str">
        <f>F4</f>
        <v>{고객사명}</v>
      </c>
      <c r="G33" s="28"/>
      <c r="H33" s="18" t="s">
        <v>34</v>
      </c>
      <c r="I33" s="18"/>
      <c r="J33" s="4"/>
      <c r="K33" s="4"/>
    </row>
    <row r="34" spans="2:11" ht="16.5" customHeight="1" x14ac:dyDescent="0.3">
      <c r="C34" s="18" t="s">
        <v>29</v>
      </c>
      <c r="D34" s="18"/>
      <c r="E34" s="18"/>
      <c r="F34" s="18"/>
      <c r="G34" s="18"/>
      <c r="H34" s="18"/>
      <c r="I34" s="18"/>
      <c r="J34" s="18"/>
      <c r="K34" s="18"/>
    </row>
    <row r="35" spans="2:11" x14ac:dyDescent="0.3">
      <c r="C35" s="18"/>
      <c r="D35" s="18"/>
      <c r="E35" s="18"/>
      <c r="F35" s="18"/>
      <c r="G35" s="18"/>
      <c r="H35" s="18"/>
      <c r="I35" s="18"/>
      <c r="J35" s="18"/>
      <c r="K35" s="18"/>
    </row>
    <row r="37" spans="2:11" x14ac:dyDescent="0.3">
      <c r="G37" s="13" t="s">
        <v>12</v>
      </c>
      <c r="H37" s="13"/>
      <c r="I37" s="13"/>
      <c r="J37" s="13"/>
      <c r="K37" s="13"/>
    </row>
    <row r="39" spans="2:11" ht="16.5" customHeight="1" x14ac:dyDescent="0.3">
      <c r="B39" s="3">
        <v>3</v>
      </c>
      <c r="C39" s="18" t="s">
        <v>30</v>
      </c>
      <c r="D39" s="18"/>
      <c r="E39" s="18"/>
      <c r="F39" s="18"/>
      <c r="G39" s="18"/>
      <c r="H39" s="18"/>
      <c r="I39" s="18"/>
      <c r="J39" s="18"/>
      <c r="K39" s="18"/>
    </row>
    <row r="40" spans="2:11" x14ac:dyDescent="0.3">
      <c r="C40" s="18"/>
      <c r="D40" s="18"/>
      <c r="E40" s="18"/>
      <c r="F40" s="18"/>
      <c r="G40" s="18"/>
      <c r="H40" s="18"/>
      <c r="I40" s="18"/>
      <c r="J40" s="18"/>
      <c r="K40" s="18"/>
    </row>
    <row r="41" spans="2:11" x14ac:dyDescent="0.3">
      <c r="C41" s="18"/>
      <c r="D41" s="18"/>
      <c r="E41" s="18"/>
      <c r="F41" s="18"/>
      <c r="G41" s="18"/>
      <c r="H41" s="18"/>
      <c r="I41" s="18"/>
      <c r="J41" s="18"/>
      <c r="K41" s="18"/>
    </row>
    <row r="43" spans="2:11" ht="16.5" customHeight="1" x14ac:dyDescent="0.3">
      <c r="B43" s="3">
        <v>4</v>
      </c>
      <c r="C43" s="18" t="s">
        <v>31</v>
      </c>
      <c r="D43" s="18"/>
      <c r="E43" s="18"/>
      <c r="F43" s="18"/>
      <c r="G43" s="18"/>
      <c r="H43" s="18"/>
      <c r="I43" s="18"/>
      <c r="J43" s="18"/>
      <c r="K43" s="18"/>
    </row>
    <row r="44" spans="2:11" x14ac:dyDescent="0.3">
      <c r="C44" s="18"/>
      <c r="D44" s="18"/>
      <c r="E44" s="18"/>
      <c r="F44" s="18"/>
      <c r="G44" s="18"/>
      <c r="H44" s="18"/>
      <c r="I44" s="18"/>
      <c r="J44" s="18"/>
      <c r="K44" s="18"/>
    </row>
    <row r="45" spans="2:11" x14ac:dyDescent="0.3">
      <c r="C45" s="18"/>
      <c r="D45" s="18"/>
      <c r="E45" s="18"/>
      <c r="F45" s="18"/>
      <c r="G45" s="18"/>
      <c r="H45" s="18"/>
      <c r="I45" s="18"/>
      <c r="J45" s="18"/>
      <c r="K45" s="18"/>
    </row>
    <row r="47" spans="2:11" s="11" customFormat="1" x14ac:dyDescent="0.3">
      <c r="F47" s="12" t="s">
        <v>35</v>
      </c>
      <c r="G47" s="12" t="s">
        <v>13</v>
      </c>
      <c r="H47" s="12" t="s">
        <v>14</v>
      </c>
    </row>
    <row r="48" spans="2:11" s="11" customFormat="1" x14ac:dyDescent="0.3"/>
    <row r="49" spans="8:11" s="11" customFormat="1" x14ac:dyDescent="0.3">
      <c r="H49" s="12" t="s">
        <v>15</v>
      </c>
      <c r="I49" s="29" t="str">
        <f>C4</f>
        <v>{직원명}</v>
      </c>
      <c r="J49" s="29"/>
      <c r="K49" s="12" t="s">
        <v>16</v>
      </c>
    </row>
    <row r="50" spans="8:11" s="11" customFormat="1" x14ac:dyDescent="0.3">
      <c r="K50" s="12"/>
    </row>
    <row r="51" spans="8:11" s="11" customFormat="1" x14ac:dyDescent="0.3">
      <c r="K51" s="12"/>
    </row>
    <row r="52" spans="8:11" s="11" customFormat="1" x14ac:dyDescent="0.3">
      <c r="H52" s="29" t="str">
        <f>F4</f>
        <v>{고객사명}</v>
      </c>
      <c r="I52" s="29"/>
      <c r="J52" s="29"/>
      <c r="K52" s="12" t="s">
        <v>17</v>
      </c>
    </row>
  </sheetData>
  <mergeCells count="35">
    <mergeCell ref="F19:H20"/>
    <mergeCell ref="C21:E21"/>
    <mergeCell ref="G23:K23"/>
    <mergeCell ref="F31:K31"/>
    <mergeCell ref="G37:K37"/>
    <mergeCell ref="I18:K21"/>
    <mergeCell ref="C25:E25"/>
    <mergeCell ref="F25:H25"/>
    <mergeCell ref="I25:K25"/>
    <mergeCell ref="F27:H28"/>
    <mergeCell ref="C29:E29"/>
    <mergeCell ref="I26:K29"/>
    <mergeCell ref="C43:K45"/>
    <mergeCell ref="H52:J52"/>
    <mergeCell ref="I49:J49"/>
    <mergeCell ref="C33:D33"/>
    <mergeCell ref="F33:G33"/>
    <mergeCell ref="H33:I33"/>
    <mergeCell ref="C34:K35"/>
    <mergeCell ref="C39:K41"/>
    <mergeCell ref="B1:K1"/>
    <mergeCell ref="C5:K6"/>
    <mergeCell ref="C4:D4"/>
    <mergeCell ref="I9:K13"/>
    <mergeCell ref="C8:E8"/>
    <mergeCell ref="F8:H8"/>
    <mergeCell ref="I8:K8"/>
    <mergeCell ref="G15:K15"/>
    <mergeCell ref="C17:E17"/>
    <mergeCell ref="F17:H17"/>
    <mergeCell ref="I17:K17"/>
    <mergeCell ref="F4:H4"/>
    <mergeCell ref="I4:J4"/>
    <mergeCell ref="C12:E13"/>
    <mergeCell ref="F10:H11"/>
  </mergeCells>
  <phoneticPr fontId="4" type="noConversion"/>
  <pageMargins left="0.7" right="0.7" top="0.75" bottom="0.75" header="0.3" footer="0.3"/>
  <pageSetup paperSize="9" scale="80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정보동의서</vt:lpstr>
      <vt:lpstr>Sheet2</vt:lpstr>
      <vt:lpstr>정보동의서!Print_Area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com</cp:lastModifiedBy>
  <cp:lastPrinted>2026-04-02T03:42:38Z</cp:lastPrinted>
  <dcterms:created xsi:type="dcterms:W3CDTF">2012-09-04T01:22:18Z</dcterms:created>
  <dcterms:modified xsi:type="dcterms:W3CDTF">2026-09-03T06:52:44Z</dcterms:modified>
</cp:coreProperties>
</file>